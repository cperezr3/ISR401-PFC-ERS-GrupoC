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milita\AppData\Local\Temp\claude\C--Users-Kamilita-Documents-Exp\23e3df8a-4420-4943-b0a0-ad5f6ab9a2a5\scratchpad\pe4_review\anexos_out\"/>
    </mc:Choice>
  </mc:AlternateContent>
  <xr:revisionPtr revIDLastSave="0" documentId="8_{0D01EEF5-7CFB-4955-B770-C44C2DF25431}" xr6:coauthVersionLast="47" xr6:coauthVersionMax="47" xr10:uidLastSave="{00000000-0000-0000-0000-000000000000}"/>
  <bookViews>
    <workbookView xWindow="4080" yWindow="3720" windowWidth="17280" windowHeight="9960" activeTab="1" xr2:uid="{DE6F6E19-8300-4178-A108-D7C2FE11569C}"/>
  </bookViews>
  <sheets>
    <sheet name="Datos" sheetId="1" r:id="rId1"/>
    <sheet name="Metrica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3" i="2" l="1"/>
  <c r="D52" i="2"/>
  <c r="D51" i="2"/>
  <c r="B51" i="2"/>
  <c r="B47" i="2"/>
  <c r="B46" i="2"/>
  <c r="C38" i="2"/>
  <c r="C37" i="2"/>
  <c r="C36" i="2"/>
  <c r="C35" i="2"/>
  <c r="B38" i="2"/>
  <c r="B37" i="2"/>
  <c r="B36" i="2"/>
  <c r="B35" i="2"/>
  <c r="C30" i="2"/>
  <c r="C29" i="2"/>
  <c r="C28" i="2"/>
  <c r="C27" i="2"/>
  <c r="C26" i="2"/>
  <c r="C25" i="2"/>
  <c r="C24" i="2"/>
  <c r="C23" i="2"/>
  <c r="B30" i="2"/>
  <c r="B29" i="2"/>
  <c r="B28" i="2"/>
  <c r="B27" i="2"/>
  <c r="B26" i="2"/>
  <c r="B25" i="2"/>
  <c r="B24" i="2"/>
  <c r="B23" i="2"/>
  <c r="C19" i="2"/>
  <c r="C18" i="2"/>
  <c r="C17" i="2"/>
  <c r="C16" i="2"/>
  <c r="B19" i="2"/>
  <c r="B18" i="2"/>
  <c r="B17" i="2"/>
  <c r="B16" i="2"/>
  <c r="B12" i="2"/>
  <c r="B11" i="2"/>
  <c r="B10" i="2" s="1"/>
  <c r="B9" i="2"/>
  <c r="B8" i="2"/>
</calcChain>
</file>

<file path=xl/sharedStrings.xml><?xml version="1.0" encoding="utf-8"?>
<sst xmlns="http://schemas.openxmlformats.org/spreadsheetml/2006/main" count="180" uniqueCount="93">
  <si>
    <t>ID</t>
  </si>
  <si>
    <t>Tipo (detalle)</t>
  </si>
  <si>
    <t>Severidad</t>
  </si>
  <si>
    <t>Inspector</t>
  </si>
  <si>
    <t>Estado</t>
  </si>
  <si>
    <t>Categoria principal</t>
  </si>
  <si>
    <t>D-01</t>
  </si>
  <si>
    <t>Trazabilidad</t>
  </si>
  <si>
    <t>Mayor</t>
  </si>
  <si>
    <t>Lector (Kamila)</t>
  </si>
  <si>
    <t>Pendiente</t>
  </si>
  <si>
    <t>D-02</t>
  </si>
  <si>
    <t>Completitud</t>
  </si>
  <si>
    <t>Requiere revisión adicional</t>
  </si>
  <si>
    <t>D-03</t>
  </si>
  <si>
    <t>Consistencia diagrama-texto</t>
  </si>
  <si>
    <t>Menor</t>
  </si>
  <si>
    <t>Consistencia diagrama-texto o estructural</t>
  </si>
  <si>
    <t>D-04</t>
  </si>
  <si>
    <t>(descartado)</t>
  </si>
  <si>
    <t>Descartado</t>
  </si>
  <si>
    <t>D-05</t>
  </si>
  <si>
    <t>Verificabilidad</t>
  </si>
  <si>
    <t>D-06</t>
  </si>
  <si>
    <t>Nomenclatura / Trazabilidad</t>
  </si>
  <si>
    <t>Crítico</t>
  </si>
  <si>
    <t>Inspector 1 (Josthyn)</t>
  </si>
  <si>
    <t>D-07</t>
  </si>
  <si>
    <t>D-08</t>
  </si>
  <si>
    <t>Inspector 1 (Josthyn) e Inspector 2 (Carlos)</t>
  </si>
  <si>
    <t>D-09</t>
  </si>
  <si>
    <t>D-10</t>
  </si>
  <si>
    <t>D-11</t>
  </si>
  <si>
    <t>Documentación / Estructura</t>
  </si>
  <si>
    <t>Documentacion o Estructura</t>
  </si>
  <si>
    <t>D-12</t>
  </si>
  <si>
    <t>Completitud / Redacción</t>
  </si>
  <si>
    <t>Cerrado</t>
  </si>
  <si>
    <t>D-13</t>
  </si>
  <si>
    <t>Calidad de prototipo (fuera de alcance del ERS)</t>
  </si>
  <si>
    <t>Fuera de alcance del ERS</t>
  </si>
  <si>
    <t>D-14</t>
  </si>
  <si>
    <t>Consistencia estructural / Completitud</t>
  </si>
  <si>
    <t>Inspector 2 (Carlos)</t>
  </si>
  <si>
    <t>D-15</t>
  </si>
  <si>
    <t>D-16</t>
  </si>
  <si>
    <t>Nomenclatura</t>
  </si>
  <si>
    <t>Nomenclatura (exclusiva)</t>
  </si>
  <si>
    <t>D-17</t>
  </si>
  <si>
    <t>D-18</t>
  </si>
  <si>
    <t>D-19</t>
  </si>
  <si>
    <t>Nota: 'Categoria principal' es la clasificacion primaria usada para la Seccion 3 de Metricas (evita doble conteo cuando el Tipo detallado combina dos categorias, igual criterio que el informe PE4).</t>
  </si>
  <si>
    <t>Metricas de Inspeccion Fagan -- ERS CarniCore</t>
  </si>
  <si>
    <t>Consistente con el informe PE4, Seccion 4.6. Datos crudos en la hoja 'Datos' (rango Datos!A2:E20).</t>
  </si>
  <si>
    <t>1. Resumen general</t>
  </si>
  <si>
    <t>Defectos expuestos en la reunion (03/08, incl. 1 repeticion)</t>
  </si>
  <si>
    <t>Defectos unicos expuestos durante los bloques tematicos</t>
  </si>
  <si>
    <t>Defectos adicionales confirmados en el cierre de la misma reunion (D-17,D-18,D-19)</t>
  </si>
  <si>
    <t>Defectos unicos totales (registro final)</t>
  </si>
  <si>
    <t>Verificacion cruzada: conteo directo en hoja Datos</t>
  </si>
  <si>
    <t>Defectos aceptados</t>
  </si>
  <si>
    <t>Defectos descartados</t>
  </si>
  <si>
    <t>Defectos cerrados de inmediato</t>
  </si>
  <si>
    <t>2. Distribucion por severidad (sobre defectos aceptados)</t>
  </si>
  <si>
    <t>Cantidad</t>
  </si>
  <si>
    <t>%</t>
  </si>
  <si>
    <t>Critico</t>
  </si>
  <si>
    <t>Total</t>
  </si>
  <si>
    <t>3. Distribucion por tipo (sobre defectos unicos)</t>
  </si>
  <si>
    <t>Tipo (categoria principal)</t>
  </si>
  <si>
    <t>Nota: clasificacion por categoria principal (defectos con doble tipo, p.ej. Nomenclatura/Trazabilidad, se cuentan bajo Trazabilidad, igual que en el informe).</t>
  </si>
  <si>
    <t>4. Distribucion por inspector (hallazgos individuales antes de consolidar repetidos)</t>
  </si>
  <si>
    <t>Hallazgos</t>
  </si>
  <si>
    <t>Total (incluye 1 repeticion D-08)</t>
  </si>
  <si>
    <t>Nota: D-17 (Kamila) y D-18/D-19 (Carlos) surgieron en la preparacion individual y se confirmaron en el cierre de la reunion del 03/08/2026 (ver Datos y el informe, Seccion 4.3).</t>
  </si>
  <si>
    <t>5. Esfuerzo (horas-persona)</t>
  </si>
  <si>
    <t>Actividad</t>
  </si>
  <si>
    <t>Horas</t>
  </si>
  <si>
    <t>Preparacion individual - Lector (Kamila)</t>
  </si>
  <si>
    <t>Preparacion individual - Inspector 1 (Josthyn)</t>
  </si>
  <si>
    <t>Preparacion individual - Inspector 2 (Carlos)</t>
  </si>
  <si>
    <t>Reunion de inspeccion (2.25 h x 3 personas)</t>
  </si>
  <si>
    <t>Total horas-persona</t>
  </si>
  <si>
    <t>6. Densidad de defectos</t>
  </si>
  <si>
    <t>Medida</t>
  </si>
  <si>
    <t>Numerador</t>
  </si>
  <si>
    <t>Denominador</t>
  </si>
  <si>
    <t>Resultado</t>
  </si>
  <si>
    <t>Defectos por pagina del ERS</t>
  </si>
  <si>
    <t>Defectos relacionados con mockups</t>
  </si>
  <si>
    <t>Defectos originados directamente en filas de la matriz de trazabilidad</t>
  </si>
  <si>
    <t>7. Interpretacion</t>
  </si>
  <si>
    <t>La densidad mas alta se concentra en los mockups (0.32 defectos/pantalla) y en la matriz de trazabilidad (0.125 defectos/fila), mas que en los requisitos funcionales redactados en si. Los defectos D-17 y D-18, confirmados en el cierre de la reunion, repiten el mismo patron de colision o desalineacion de identificadores en la matriz que ya evidenciaban D-08, D-09 y D-15; D-19 aporta un angulo distinto, una brecha de completitud entre el glosario y los RF. Los dos defectos Criticos (D-06, D-15) siguen siendo los unicos de maxima severidad, ambos de nomenclatura/identificadores, no de contenido conceptual. Consistente con el informe PE4, Seccion 4.6.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</si>
</sst>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00%"/>
    <numFmt numFmtId="165" formatCode="0,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8"/>
      <color theme="1"/>
      <name val="Arial"/>
      <family val="2"/>
    </font>
    <font>
      <b/>
      <sz val="13"/>
      <color theme="1"/>
      <name val="Arial"/>
      <family val="2"/>
    </font>
    <font>
      <i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1" fillId="0" borderId="0" xfId="0" applyFont="1" applyAlignment="1">
      <alignment wrapText="1"/>
    </xf>
    <xf numFmtId="0" fontId="4" fillId="0" borderId="1" xfId="0" applyFont="1" applyBorder="1" applyAlignment="1">
      <alignment vertical="top" wrapText="1"/>
    </xf>
    <xf numFmtId="0" fontId="5" fillId="0" borderId="0" xfId="0" applyFont="1"/>
    <xf numFmtId="0" fontId="1" fillId="0" borderId="0" xfId="0" applyFont="1"/>
    <xf numFmtId="0" fontId="6" fillId="0" borderId="0" xfId="0" applyFont="1"/>
    <xf numFmtId="0" fontId="7" fillId="0" borderId="0" xfId="0" applyFont="1"/>
    <xf numFmtId="0" fontId="2" fillId="2" borderId="0" xfId="0" applyFont="1" applyFill="1"/>
    <xf numFmtId="0" fontId="2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1" fillId="0" borderId="0" xfId="0" applyNumberFormat="1" applyFont="1"/>
    <xf numFmtId="0" fontId="5" fillId="0" borderId="0" xfId="0" applyFont="1" applyAlignment="1">
      <alignment wrapText="1"/>
    </xf>
    <xf numFmtId="165" fontId="1" fillId="0" borderId="0" xfId="0" applyNumberFormat="1" applyFont="1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99817-DEAC-461A-B795-DE5F6563C65F}">
  <dimension ref="A1:H20"/>
  <sheetViews>
    <sheetView workbookViewId="0"/>
  </sheetViews>
  <sheetFormatPr baseColWidth="10" defaultRowHeight="13.8" x14ac:dyDescent="0.25"/>
  <cols>
    <col min="1" max="1" width="6.77734375" style="1" customWidth="1"/>
    <col min="2" max="2" width="22.77734375" style="1" customWidth="1"/>
    <col min="3" max="3" width="10.77734375" style="1" customWidth="1"/>
    <col min="4" max="4" width="20.77734375" style="1" customWidth="1"/>
    <col min="5" max="5" width="22.77734375" style="1" customWidth="1"/>
    <col min="6" max="6" width="30.77734375" style="1" customWidth="1"/>
    <col min="7" max="16384" width="11.5546875" style="1"/>
  </cols>
  <sheetData>
    <row r="1" spans="1: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H1" s="6" t="s">
        <v>51</v>
      </c>
    </row>
    <row r="2" spans="1:8" ht="26.4" x14ac:dyDescent="0.25">
      <c r="A2" s="5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5" t="s">
        <v>7</v>
      </c>
    </row>
    <row r="3" spans="1:8" ht="39.6" x14ac:dyDescent="0.25">
      <c r="A3" s="5" t="s">
        <v>11</v>
      </c>
      <c r="B3" s="5" t="s">
        <v>12</v>
      </c>
      <c r="C3" s="5" t="s">
        <v>8</v>
      </c>
      <c r="D3" s="5" t="s">
        <v>9</v>
      </c>
      <c r="E3" s="5" t="s">
        <v>13</v>
      </c>
      <c r="F3" s="5" t="s">
        <v>12</v>
      </c>
    </row>
    <row r="4" spans="1:8" ht="52.8" x14ac:dyDescent="0.25">
      <c r="A4" s="5" t="s">
        <v>14</v>
      </c>
      <c r="B4" s="5" t="s">
        <v>15</v>
      </c>
      <c r="C4" s="5" t="s">
        <v>16</v>
      </c>
      <c r="D4" s="5" t="s">
        <v>9</v>
      </c>
      <c r="E4" s="5" t="s">
        <v>10</v>
      </c>
      <c r="F4" s="5" t="s">
        <v>17</v>
      </c>
    </row>
    <row r="5" spans="1:8" ht="26.4" x14ac:dyDescent="0.25">
      <c r="A5" s="5" t="s">
        <v>18</v>
      </c>
      <c r="B5" s="5" t="s">
        <v>12</v>
      </c>
      <c r="C5" s="5" t="s">
        <v>19</v>
      </c>
      <c r="D5" s="5" t="s">
        <v>9</v>
      </c>
      <c r="E5" s="5" t="s">
        <v>20</v>
      </c>
      <c r="F5" s="5" t="s">
        <v>12</v>
      </c>
    </row>
    <row r="6" spans="1:8" ht="26.4" x14ac:dyDescent="0.25">
      <c r="A6" s="5" t="s">
        <v>21</v>
      </c>
      <c r="B6" s="5" t="s">
        <v>22</v>
      </c>
      <c r="C6" s="5" t="s">
        <v>16</v>
      </c>
      <c r="D6" s="5" t="s">
        <v>9</v>
      </c>
      <c r="E6" s="5" t="s">
        <v>10</v>
      </c>
      <c r="F6" s="5" t="s">
        <v>22</v>
      </c>
    </row>
    <row r="7" spans="1:8" ht="39.6" x14ac:dyDescent="0.25">
      <c r="A7" s="5" t="s">
        <v>23</v>
      </c>
      <c r="B7" s="5" t="s">
        <v>24</v>
      </c>
      <c r="C7" s="5" t="s">
        <v>25</v>
      </c>
      <c r="D7" s="5" t="s">
        <v>26</v>
      </c>
      <c r="E7" s="5" t="s">
        <v>10</v>
      </c>
      <c r="F7" s="5" t="s">
        <v>7</v>
      </c>
    </row>
    <row r="8" spans="1:8" ht="52.8" x14ac:dyDescent="0.25">
      <c r="A8" s="5" t="s">
        <v>27</v>
      </c>
      <c r="B8" s="5" t="s">
        <v>15</v>
      </c>
      <c r="C8" s="5" t="s">
        <v>8</v>
      </c>
      <c r="D8" s="5" t="s">
        <v>26</v>
      </c>
      <c r="E8" s="5" t="s">
        <v>10</v>
      </c>
      <c r="F8" s="5" t="s">
        <v>17</v>
      </c>
    </row>
    <row r="9" spans="1:8" ht="52.8" x14ac:dyDescent="0.25">
      <c r="A9" s="5" t="s">
        <v>28</v>
      </c>
      <c r="B9" s="5" t="s">
        <v>7</v>
      </c>
      <c r="C9" s="5" t="s">
        <v>8</v>
      </c>
      <c r="D9" s="5" t="s">
        <v>29</v>
      </c>
      <c r="E9" s="5" t="s">
        <v>10</v>
      </c>
      <c r="F9" s="5" t="s">
        <v>7</v>
      </c>
    </row>
    <row r="10" spans="1:8" ht="39.6" x14ac:dyDescent="0.25">
      <c r="A10" s="5" t="s">
        <v>30</v>
      </c>
      <c r="B10" s="5" t="s">
        <v>7</v>
      </c>
      <c r="C10" s="5" t="s">
        <v>8</v>
      </c>
      <c r="D10" s="5" t="s">
        <v>26</v>
      </c>
      <c r="E10" s="5" t="s">
        <v>13</v>
      </c>
      <c r="F10" s="5" t="s">
        <v>7</v>
      </c>
    </row>
    <row r="11" spans="1:8" ht="39.6" x14ac:dyDescent="0.25">
      <c r="A11" s="5" t="s">
        <v>31</v>
      </c>
      <c r="B11" s="5" t="s">
        <v>12</v>
      </c>
      <c r="C11" s="5" t="s">
        <v>8</v>
      </c>
      <c r="D11" s="5" t="s">
        <v>26</v>
      </c>
      <c r="E11" s="5" t="s">
        <v>13</v>
      </c>
      <c r="F11" s="5" t="s">
        <v>12</v>
      </c>
    </row>
    <row r="12" spans="1:8" ht="39.6" x14ac:dyDescent="0.25">
      <c r="A12" s="5" t="s">
        <v>32</v>
      </c>
      <c r="B12" s="5" t="s">
        <v>33</v>
      </c>
      <c r="C12" s="5" t="s">
        <v>16</v>
      </c>
      <c r="D12" s="5" t="s">
        <v>26</v>
      </c>
      <c r="E12" s="5" t="s">
        <v>10</v>
      </c>
      <c r="F12" s="5" t="s">
        <v>34</v>
      </c>
    </row>
    <row r="13" spans="1:8" ht="26.4" x14ac:dyDescent="0.25">
      <c r="A13" s="5" t="s">
        <v>35</v>
      </c>
      <c r="B13" s="5" t="s">
        <v>36</v>
      </c>
      <c r="C13" s="5" t="s">
        <v>16</v>
      </c>
      <c r="D13" s="5" t="s">
        <v>26</v>
      </c>
      <c r="E13" s="5" t="s">
        <v>37</v>
      </c>
      <c r="F13" s="5" t="s">
        <v>12</v>
      </c>
    </row>
    <row r="14" spans="1:8" ht="66" x14ac:dyDescent="0.25">
      <c r="A14" s="5" t="s">
        <v>38</v>
      </c>
      <c r="B14" s="5" t="s">
        <v>39</v>
      </c>
      <c r="C14" s="5" t="s">
        <v>19</v>
      </c>
      <c r="D14" s="5" t="s">
        <v>26</v>
      </c>
      <c r="E14" s="5" t="s">
        <v>20</v>
      </c>
      <c r="F14" s="5" t="s">
        <v>40</v>
      </c>
    </row>
    <row r="15" spans="1:8" ht="52.8" x14ac:dyDescent="0.25">
      <c r="A15" s="5" t="s">
        <v>41</v>
      </c>
      <c r="B15" s="5" t="s">
        <v>42</v>
      </c>
      <c r="C15" s="5" t="s">
        <v>8</v>
      </c>
      <c r="D15" s="5" t="s">
        <v>43</v>
      </c>
      <c r="E15" s="5" t="s">
        <v>13</v>
      </c>
      <c r="F15" s="5" t="s">
        <v>17</v>
      </c>
    </row>
    <row r="16" spans="1:8" ht="39.6" x14ac:dyDescent="0.25">
      <c r="A16" s="5" t="s">
        <v>44</v>
      </c>
      <c r="B16" s="5" t="s">
        <v>24</v>
      </c>
      <c r="C16" s="5" t="s">
        <v>25</v>
      </c>
      <c r="D16" s="5" t="s">
        <v>43</v>
      </c>
      <c r="E16" s="5" t="s">
        <v>10</v>
      </c>
      <c r="F16" s="5" t="s">
        <v>7</v>
      </c>
    </row>
    <row r="17" spans="1:6" ht="26.4" x14ac:dyDescent="0.25">
      <c r="A17" s="5" t="s">
        <v>45</v>
      </c>
      <c r="B17" s="5" t="s">
        <v>46</v>
      </c>
      <c r="C17" s="5" t="s">
        <v>16</v>
      </c>
      <c r="D17" s="5" t="s">
        <v>43</v>
      </c>
      <c r="E17" s="5" t="s">
        <v>10</v>
      </c>
      <c r="F17" s="5" t="s">
        <v>47</v>
      </c>
    </row>
    <row r="18" spans="1:6" ht="26.4" x14ac:dyDescent="0.25">
      <c r="A18" s="5" t="s">
        <v>48</v>
      </c>
      <c r="B18" s="5" t="s">
        <v>7</v>
      </c>
      <c r="C18" s="5" t="s">
        <v>8</v>
      </c>
      <c r="D18" s="5" t="s">
        <v>9</v>
      </c>
      <c r="E18" s="5" t="s">
        <v>10</v>
      </c>
      <c r="F18" s="5" t="s">
        <v>7</v>
      </c>
    </row>
    <row r="19" spans="1:6" ht="39.6" x14ac:dyDescent="0.25">
      <c r="A19" s="5" t="s">
        <v>49</v>
      </c>
      <c r="B19" s="5" t="s">
        <v>24</v>
      </c>
      <c r="C19" s="5" t="s">
        <v>8</v>
      </c>
      <c r="D19" s="5" t="s">
        <v>43</v>
      </c>
      <c r="E19" s="5" t="s">
        <v>10</v>
      </c>
      <c r="F19" s="5" t="s">
        <v>7</v>
      </c>
    </row>
    <row r="20" spans="1:6" ht="39.6" x14ac:dyDescent="0.25">
      <c r="A20" s="5" t="s">
        <v>50</v>
      </c>
      <c r="B20" s="5" t="s">
        <v>12</v>
      </c>
      <c r="C20" s="5" t="s">
        <v>8</v>
      </c>
      <c r="D20" s="5" t="s">
        <v>43</v>
      </c>
      <c r="E20" s="5" t="s">
        <v>13</v>
      </c>
      <c r="F20" s="5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98F58-E712-4479-BC3D-4813EBDDCDEC}">
  <dimension ref="A1:D60"/>
  <sheetViews>
    <sheetView tabSelected="1" workbookViewId="0"/>
  </sheetViews>
  <sheetFormatPr baseColWidth="10" defaultRowHeight="13.8" x14ac:dyDescent="0.25"/>
  <cols>
    <col min="1" max="1" width="42.77734375" style="1" customWidth="1"/>
    <col min="2" max="4" width="14.77734375" style="1" customWidth="1"/>
    <col min="5" max="16384" width="11.5546875" style="1"/>
  </cols>
  <sheetData>
    <row r="1" spans="1:4" ht="16.8" x14ac:dyDescent="0.3">
      <c r="A1" s="8" t="s">
        <v>52</v>
      </c>
      <c r="B1" s="7"/>
      <c r="C1" s="7"/>
      <c r="D1" s="7"/>
    </row>
    <row r="2" spans="1:4" x14ac:dyDescent="0.25">
      <c r="A2" s="9" t="s">
        <v>53</v>
      </c>
      <c r="B2" s="7"/>
      <c r="C2" s="7"/>
      <c r="D2" s="7"/>
    </row>
    <row r="4" spans="1:4" x14ac:dyDescent="0.25">
      <c r="A4" s="10" t="s">
        <v>54</v>
      </c>
      <c r="B4" s="10"/>
    </row>
    <row r="5" spans="1:4" ht="96.6" x14ac:dyDescent="0.25">
      <c r="A5" s="4" t="s">
        <v>55</v>
      </c>
      <c r="B5" s="12">
        <v>17</v>
      </c>
    </row>
    <row r="6" spans="1:4" ht="82.8" x14ac:dyDescent="0.25">
      <c r="A6" s="4" t="s">
        <v>56</v>
      </c>
      <c r="B6" s="12">
        <v>16</v>
      </c>
    </row>
    <row r="7" spans="1:4" ht="124.2" x14ac:dyDescent="0.25">
      <c r="A7" s="4" t="s">
        <v>57</v>
      </c>
      <c r="B7" s="12">
        <v>3</v>
      </c>
    </row>
    <row r="8" spans="1:4" ht="69" x14ac:dyDescent="0.25">
      <c r="A8" s="11" t="s">
        <v>58</v>
      </c>
      <c r="B8" s="13">
        <f>B6+B7</f>
        <v>19</v>
      </c>
    </row>
    <row r="9" spans="1:4" ht="69" x14ac:dyDescent="0.25">
      <c r="A9" s="4" t="s">
        <v>59</v>
      </c>
      <c r="B9" s="12">
        <f>COUNTA(Datos!A2:A20)</f>
        <v>19</v>
      </c>
    </row>
    <row r="10" spans="1:4" ht="27.6" x14ac:dyDescent="0.25">
      <c r="A10" s="4" t="s">
        <v>60</v>
      </c>
      <c r="B10" s="12">
        <f>$B$9-B11</f>
        <v>17</v>
      </c>
    </row>
    <row r="11" spans="1:4" ht="41.4" x14ac:dyDescent="0.25">
      <c r="A11" s="4" t="s">
        <v>61</v>
      </c>
      <c r="B11" s="12">
        <f>COUNTIF(Datos!E2:E20,"Descartado")</f>
        <v>2</v>
      </c>
    </row>
    <row r="12" spans="1:4" ht="41.4" x14ac:dyDescent="0.25">
      <c r="A12" s="4" t="s">
        <v>62</v>
      </c>
      <c r="B12" s="12">
        <f>COUNTIF(Datos!E2:E20,"Cerrado")</f>
        <v>1</v>
      </c>
    </row>
    <row r="14" spans="1:4" x14ac:dyDescent="0.25">
      <c r="A14" s="10" t="s">
        <v>63</v>
      </c>
      <c r="B14" s="10"/>
      <c r="C14" s="10"/>
    </row>
    <row r="15" spans="1:4" x14ac:dyDescent="0.25">
      <c r="A15" s="3" t="s">
        <v>2</v>
      </c>
      <c r="B15" s="3" t="s">
        <v>64</v>
      </c>
      <c r="C15" s="3" t="s">
        <v>65</v>
      </c>
    </row>
    <row r="16" spans="1:4" x14ac:dyDescent="0.25">
      <c r="A16" s="1" t="s">
        <v>66</v>
      </c>
      <c r="B16" s="1">
        <f>COUNTIF(Datos!C2:C$20,"Cr?tico")</f>
        <v>2</v>
      </c>
      <c r="C16" s="14">
        <f>B16/$B$19</f>
        <v>0.11764705882352941</v>
      </c>
    </row>
    <row r="17" spans="1:3" x14ac:dyDescent="0.25">
      <c r="A17" s="1" t="s">
        <v>8</v>
      </c>
      <c r="B17" s="1">
        <f>COUNTIF(Datos!C2:C$20,"Mayor")</f>
        <v>10</v>
      </c>
      <c r="C17" s="14">
        <f>B17/$B$19</f>
        <v>0.58823529411764708</v>
      </c>
    </row>
    <row r="18" spans="1:3" x14ac:dyDescent="0.25">
      <c r="A18" s="1" t="s">
        <v>16</v>
      </c>
      <c r="B18" s="1">
        <f>COUNTIF(Datos!C2:C$20,"Menor")</f>
        <v>5</v>
      </c>
      <c r="C18" s="14">
        <f>B18/$B$19</f>
        <v>0.29411764705882354</v>
      </c>
    </row>
    <row r="19" spans="1:3" x14ac:dyDescent="0.25">
      <c r="A19" s="2" t="s">
        <v>67</v>
      </c>
      <c r="B19" s="1">
        <f>SUM(B16:B18)</f>
        <v>17</v>
      </c>
      <c r="C19" s="14">
        <f>B19/$B$19</f>
        <v>1</v>
      </c>
    </row>
    <row r="21" spans="1:3" x14ac:dyDescent="0.25">
      <c r="A21" s="10" t="s">
        <v>68</v>
      </c>
      <c r="B21" s="10"/>
      <c r="C21" s="10"/>
    </row>
    <row r="22" spans="1:3" ht="39.6" x14ac:dyDescent="0.25">
      <c r="A22" s="3" t="s">
        <v>69</v>
      </c>
      <c r="B22" s="3" t="s">
        <v>64</v>
      </c>
      <c r="C22" s="3" t="s">
        <v>65</v>
      </c>
    </row>
    <row r="23" spans="1:3" x14ac:dyDescent="0.25">
      <c r="A23" s="1" t="s">
        <v>7</v>
      </c>
      <c r="B23" s="1">
        <f>COUNTIF(Datos!F2:F$20,A23)</f>
        <v>7</v>
      </c>
      <c r="C23" s="14">
        <f>B23/$B$30</f>
        <v>0.36842105263157893</v>
      </c>
    </row>
    <row r="24" spans="1:3" x14ac:dyDescent="0.25">
      <c r="A24" s="1" t="s">
        <v>12</v>
      </c>
      <c r="B24" s="1">
        <f>COUNTIF(Datos!F2:F$20,A24)</f>
        <v>5</v>
      </c>
      <c r="C24" s="14">
        <f>B24/$B$30</f>
        <v>0.26315789473684209</v>
      </c>
    </row>
    <row r="25" spans="1:3" x14ac:dyDescent="0.25">
      <c r="A25" s="1" t="s">
        <v>17</v>
      </c>
      <c r="B25" s="1">
        <f>COUNTIF(Datos!F2:F$20,A25)</f>
        <v>3</v>
      </c>
      <c r="C25" s="14">
        <f>B25/$B$30</f>
        <v>0.15789473684210525</v>
      </c>
    </row>
    <row r="26" spans="1:3" x14ac:dyDescent="0.25">
      <c r="A26" s="1" t="s">
        <v>47</v>
      </c>
      <c r="B26" s="1">
        <f>COUNTIF(Datos!F2:F$20,A26)</f>
        <v>1</v>
      </c>
      <c r="C26" s="14">
        <f>B26/$B$30</f>
        <v>5.2631578947368418E-2</v>
      </c>
    </row>
    <row r="27" spans="1:3" x14ac:dyDescent="0.25">
      <c r="A27" s="1" t="s">
        <v>22</v>
      </c>
      <c r="B27" s="1">
        <f>COUNTIF(Datos!F2:F$20,A27)</f>
        <v>1</v>
      </c>
      <c r="C27" s="14">
        <f>B27/$B$30</f>
        <v>5.2631578947368418E-2</v>
      </c>
    </row>
    <row r="28" spans="1:3" x14ac:dyDescent="0.25">
      <c r="A28" s="1" t="s">
        <v>34</v>
      </c>
      <c r="B28" s="1">
        <f>COUNTIF(Datos!F2:F$20,A28)</f>
        <v>1</v>
      </c>
      <c r="C28" s="14">
        <f>B28/$B$30</f>
        <v>5.2631578947368418E-2</v>
      </c>
    </row>
    <row r="29" spans="1:3" x14ac:dyDescent="0.25">
      <c r="A29" s="1" t="s">
        <v>40</v>
      </c>
      <c r="B29" s="1">
        <f>COUNTIF(Datos!F2:F$20,A29)</f>
        <v>1</v>
      </c>
      <c r="C29" s="14">
        <f>B29/$B$30</f>
        <v>5.2631578947368418E-2</v>
      </c>
    </row>
    <row r="30" spans="1:3" x14ac:dyDescent="0.25">
      <c r="A30" s="2" t="s">
        <v>67</v>
      </c>
      <c r="B30" s="1">
        <f>SUM(B23:B29)</f>
        <v>19</v>
      </c>
      <c r="C30" s="14">
        <f>B30/$B$30</f>
        <v>1</v>
      </c>
    </row>
    <row r="31" spans="1:3" x14ac:dyDescent="0.25">
      <c r="A31" s="15" t="s">
        <v>70</v>
      </c>
      <c r="B31" s="15"/>
      <c r="C31" s="15"/>
    </row>
    <row r="33" spans="1:3" x14ac:dyDescent="0.25">
      <c r="A33" s="10" t="s">
        <v>71</v>
      </c>
      <c r="B33" s="10"/>
      <c r="C33" s="10"/>
    </row>
    <row r="34" spans="1:3" x14ac:dyDescent="0.25">
      <c r="A34" s="3" t="s">
        <v>3</v>
      </c>
      <c r="B34" s="3" t="s">
        <v>72</v>
      </c>
      <c r="C34" s="3" t="s">
        <v>65</v>
      </c>
    </row>
    <row r="35" spans="1:3" x14ac:dyDescent="0.25">
      <c r="A35" s="1" t="s">
        <v>9</v>
      </c>
      <c r="B35" s="1">
        <f>COUNTIF(Datos!D2:D$20,"*Kamila*")</f>
        <v>6</v>
      </c>
      <c r="C35" s="14">
        <f>B35/$B$38</f>
        <v>0.3</v>
      </c>
    </row>
    <row r="36" spans="1:3" x14ac:dyDescent="0.25">
      <c r="A36" s="1" t="s">
        <v>26</v>
      </c>
      <c r="B36" s="1">
        <f>COUNTIF(Datos!D2:D$20,"*Josthyn*")</f>
        <v>8</v>
      </c>
      <c r="C36" s="14">
        <f>B36/$B$38</f>
        <v>0.4</v>
      </c>
    </row>
    <row r="37" spans="1:3" x14ac:dyDescent="0.25">
      <c r="A37" s="1" t="s">
        <v>43</v>
      </c>
      <c r="B37" s="1">
        <f>COUNTIF(Datos!D2:D$20,"*Carlos*")</f>
        <v>6</v>
      </c>
      <c r="C37" s="14">
        <f>B37/$B$38</f>
        <v>0.3</v>
      </c>
    </row>
    <row r="38" spans="1:3" x14ac:dyDescent="0.25">
      <c r="A38" s="2" t="s">
        <v>73</v>
      </c>
      <c r="B38" s="1">
        <f>SUM(B35:B37)</f>
        <v>20</v>
      </c>
      <c r="C38" s="14">
        <f>B38/$B$38</f>
        <v>1</v>
      </c>
    </row>
    <row r="39" spans="1:3" x14ac:dyDescent="0.25">
      <c r="A39" s="15" t="s">
        <v>74</v>
      </c>
      <c r="B39" s="15"/>
      <c r="C39" s="15"/>
    </row>
    <row r="41" spans="1:3" x14ac:dyDescent="0.25">
      <c r="A41" s="10" t="s">
        <v>75</v>
      </c>
      <c r="B41" s="10"/>
    </row>
    <row r="42" spans="1:3" x14ac:dyDescent="0.25">
      <c r="A42" s="3" t="s">
        <v>76</v>
      </c>
      <c r="B42" s="3" t="s">
        <v>77</v>
      </c>
    </row>
    <row r="43" spans="1:3" x14ac:dyDescent="0.25">
      <c r="A43" s="1" t="s">
        <v>78</v>
      </c>
      <c r="B43" s="1">
        <v>3</v>
      </c>
    </row>
    <row r="44" spans="1:3" x14ac:dyDescent="0.25">
      <c r="A44" s="1" t="s">
        <v>79</v>
      </c>
      <c r="B44" s="1">
        <v>4</v>
      </c>
    </row>
    <row r="45" spans="1:3" x14ac:dyDescent="0.25">
      <c r="A45" s="1" t="s">
        <v>80</v>
      </c>
      <c r="B45" s="1">
        <v>3.5</v>
      </c>
    </row>
    <row r="46" spans="1:3" x14ac:dyDescent="0.25">
      <c r="A46" s="1" t="s">
        <v>81</v>
      </c>
      <c r="B46" s="1">
        <f>2.25*3</f>
        <v>6.75</v>
      </c>
    </row>
    <row r="47" spans="1:3" x14ac:dyDescent="0.25">
      <c r="A47" s="2" t="s">
        <v>82</v>
      </c>
      <c r="B47" s="2">
        <f>SUM(B43:B46)</f>
        <v>17.25</v>
      </c>
    </row>
    <row r="49" spans="1:4" x14ac:dyDescent="0.25">
      <c r="A49" s="10" t="s">
        <v>83</v>
      </c>
      <c r="B49" s="10"/>
      <c r="C49" s="10"/>
      <c r="D49" s="10"/>
    </row>
    <row r="50" spans="1:4" ht="26.4" x14ac:dyDescent="0.25">
      <c r="A50" s="3" t="s">
        <v>84</v>
      </c>
      <c r="B50" s="3" t="s">
        <v>85</v>
      </c>
      <c r="C50" s="3" t="s">
        <v>86</v>
      </c>
      <c r="D50" s="3" t="s">
        <v>87</v>
      </c>
    </row>
    <row r="51" spans="1:4" x14ac:dyDescent="0.25">
      <c r="A51" s="1" t="s">
        <v>88</v>
      </c>
      <c r="B51" s="1">
        <f>$B$8</f>
        <v>19</v>
      </c>
      <c r="C51" s="1">
        <v>90</v>
      </c>
      <c r="D51" s="16">
        <f>B51/C51</f>
        <v>0.21111111111111111</v>
      </c>
    </row>
    <row r="52" spans="1:4" x14ac:dyDescent="0.25">
      <c r="A52" s="1" t="s">
        <v>89</v>
      </c>
      <c r="B52" s="1">
        <v>6</v>
      </c>
      <c r="C52" s="1">
        <v>19</v>
      </c>
      <c r="D52" s="16">
        <f>B52/C52</f>
        <v>0.31578947368421051</v>
      </c>
    </row>
    <row r="53" spans="1:4" x14ac:dyDescent="0.25">
      <c r="A53" s="1" t="s">
        <v>90</v>
      </c>
      <c r="B53" s="1">
        <v>5</v>
      </c>
      <c r="C53" s="1">
        <v>40</v>
      </c>
      <c r="D53" s="16">
        <f>B53/C53</f>
        <v>0.125</v>
      </c>
    </row>
    <row r="55" spans="1:4" x14ac:dyDescent="0.25">
      <c r="A55" s="10" t="s">
        <v>91</v>
      </c>
      <c r="B55" s="10"/>
      <c r="C55" s="10"/>
      <c r="D55" s="10"/>
    </row>
    <row r="56" spans="1:4" x14ac:dyDescent="0.25">
      <c r="A56" s="17" t="s">
        <v>92</v>
      </c>
      <c r="B56" s="17"/>
      <c r="C56" s="17"/>
      <c r="D56" s="17"/>
    </row>
    <row r="57" spans="1:4" x14ac:dyDescent="0.25">
      <c r="A57" s="17"/>
      <c r="B57" s="17"/>
      <c r="C57" s="17"/>
      <c r="D57" s="17"/>
    </row>
    <row r="58" spans="1:4" x14ac:dyDescent="0.25">
      <c r="A58" s="17"/>
      <c r="B58" s="17"/>
      <c r="C58" s="17"/>
      <c r="D58" s="17"/>
    </row>
    <row r="59" spans="1:4" x14ac:dyDescent="0.25">
      <c r="A59" s="17"/>
      <c r="B59" s="17"/>
      <c r="C59" s="17"/>
      <c r="D59" s="17"/>
    </row>
    <row r="60" spans="1:4" x14ac:dyDescent="0.25">
      <c r="A60" s="17"/>
      <c r="B60" s="17"/>
      <c r="C60" s="17"/>
      <c r="D60" s="17"/>
    </row>
  </sheetData>
  <mergeCells count="12">
    <mergeCell ref="A33:C33"/>
    <mergeCell ref="A39:C39"/>
    <mergeCell ref="A41:B41"/>
    <mergeCell ref="A49:D49"/>
    <mergeCell ref="A55:D55"/>
    <mergeCell ref="A56:D60"/>
    <mergeCell ref="A1:D1"/>
    <mergeCell ref="A2:D2"/>
    <mergeCell ref="A4:B4"/>
    <mergeCell ref="A14:C14"/>
    <mergeCell ref="A21:C21"/>
    <mergeCell ref="A31:C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Metricas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Kamilita</dc:creator>
  <cp:lastModifiedBy>Kamilita</cp:lastModifiedBy>
  <dcterms:created xsi:type="dcterms:W3CDTF">2026-08-05T20:56:45Z</dcterms:created>
  <dcterms:modified xsi:type="dcterms:W3CDTF">2026-08-05T20:56:46Z</dcterms:modified>
</cp:coreProperties>
</file>